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ib\Downloads\"/>
    </mc:Choice>
  </mc:AlternateContent>
  <xr:revisionPtr revIDLastSave="0" documentId="13_ncr:1_{701E1F83-F2F5-4A72-AC3D-3D90FCC391A6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1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<sst xmlns="http://schemas.openxmlformats.org/spreadsheetml/2006/main" count="16266" uniqueCount="50">
  <si>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</si>
  <si>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</si>
  <si>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</si>
  <si>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</si>
  <si>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</si>
  <si>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</si>
  <si>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</si>
  <si>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</si>
  <si>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</si>
  <si>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</si>
  <si>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</si>
  <si>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</si>
  <si>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</si>
  <si>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</si>
  <si>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</si>
  <si>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</si>
  <si>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</si>
  <si>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</si>
  <si>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</si>
  <si>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</si>
  <si>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</si>
  <si>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</si>
  <si>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</si>
  <si>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</si>
  <si>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</si>
  <si>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</si>
  <si>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</si>
  <si>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</si>
  <si>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</si>
  <si>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</si>
  <si>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</si>
  <si>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</si>
  <si>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</si>
  <si>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</si>
  <si>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</si>
  <si>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</si>
  <si>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</si>
  <si>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</si>
  <si>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</si>
  <si>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</si>
  <si>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</si>
  <si>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Promedio de Income</t>
  </si>
  <si>
    <t>Row Labels</t>
  </si>
  <si>
    <t>Grand Total</t>
  </si>
  <si>
    <t>Count of Purchased Bike</t>
  </si>
  <si>
    <t>Column Labels</t>
  </si>
  <si>
    <t>More than 10 Miles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</si>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</sst>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" formatCode="0"/>
    </dxf>
    <dxf>
      <numFmt numFmtId="167" formatCode="0.0"/>
    </dxf>
    <dxf>
      <numFmt numFmtId="1" formatCode="0"/>
    </dxf>
    <dxf>
      <numFmt numFmtId="167" formatCode="0.0"/>
    </dxf>
    <dxf>
      <numFmt numFmtId="2" formatCode="0.00"/>
    </dxf>
    <dxf>
      <numFmt numFmtId="2" formatCode="0.00"/>
    </dxf>
    <dxf>
      <numFmt numFmtId="167" formatCode="0.0"/>
    </dxf>
    <dxf>
      <numFmt numFmtId="167" formatCode="0.0"/>
    </dxf>
    <dxf>
      <numFmt numFmtId="2" formatCode="0.00"/>
    </dxf>
    <dxf>
      <numFmt numFmtId="2" formatCode="0.00"/>
    </dxf>
    <dxf>
      <numFmt numFmtId="166" formatCode="0.000"/>
    </dxf>
    <dxf>
      <numFmt numFmtId="16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Avg Income</a:t>
            </a:r>
            <a:r>
              <a:rPr lang="es-CO" baseline="0"/>
              <a:t> per Purchase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0-496D-A58B-FAEE450C4F3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B0-496D-A58B-FAEE450C4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872511"/>
        <c:axId val="247870111"/>
      </c:barChart>
      <c:catAx>
        <c:axId val="247872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7870111"/>
        <c:crosses val="autoZero"/>
        <c:auto val="1"/>
        <c:lblAlgn val="ctr"/>
        <c:lblOffset val="100"/>
        <c:noMultiLvlLbl val="0"/>
      </c:catAx>
      <c:valAx>
        <c:axId val="2478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7872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9-430D-B6C5-D47F2DF4E53E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9-430D-B6C5-D47F2DF4E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23391"/>
        <c:axId val="274921471"/>
      </c:lineChart>
      <c:catAx>
        <c:axId val="27492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Commut</a:t>
                </a:r>
                <a:r>
                  <a:rPr lang="es-CO" baseline="0"/>
                  <a:t>e Distance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4921471"/>
        <c:crosses val="autoZero"/>
        <c:auto val="1"/>
        <c:lblAlgn val="ctr"/>
        <c:lblOffset val="100"/>
        <c:noMultiLvlLbl val="0"/>
      </c:catAx>
      <c:valAx>
        <c:axId val="27492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492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Table'!$B$37:$B$38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Table'!$B$39:$B$42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66-46CA-BCD4-93BA1522A0B5}"/>
            </c:ext>
          </c:extLst>
        </c:ser>
        <c:ser>
          <c:idx val="1"/>
          <c:order val="1"/>
          <c:tx>
            <c:strRef>
              <c:f>'Pivot Table'!$C$37:$C$38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Table'!$A$39:$A$42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Table'!$C$39:$C$42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6-46CA-BCD4-93BA1522A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94207"/>
        <c:axId val="271295167"/>
      </c:lineChart>
      <c:catAx>
        <c:axId val="27129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Age</a:t>
                </a:r>
                <a:r>
                  <a:rPr lang="es-CO" baseline="0"/>
                  <a:t> Bracket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1295167"/>
        <c:crosses val="autoZero"/>
        <c:auto val="1"/>
        <c:lblAlgn val="ctr"/>
        <c:lblOffset val="100"/>
        <c:noMultiLvlLbl val="0"/>
      </c:catAx>
      <c:valAx>
        <c:axId val="2712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129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1</xdr:row>
      <xdr:rowOff>0</xdr:rowOff>
    </xdr:from>
    <xdr:to>
      <xdr:col>10</xdr:col>
      <xdr:colOff>594360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B1469-EF29-F740-4186-635D1E3D5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788670</xdr:colOff>
      <xdr:row>19</xdr:row>
      <xdr:rowOff>0</xdr:rowOff>
    </xdr:from>
    <xdr:to>
      <xdr:col>10</xdr:col>
      <xdr:colOff>605790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DB02A-7EEE-A3C1-92DB-444EDF8AC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</xdr:colOff>
      <xdr:row>36</xdr:row>
      <xdr:rowOff>0</xdr:rowOff>
    </xdr:from>
    <xdr:to>
      <xdr:col>10</xdr:col>
      <xdr:colOff>613410</xdr:colOff>
      <xdr:row>48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A30F22-0369-F3FF-FB9A-8831EDC57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Gómez Ibarra" refreshedDate="46167.964633564814" createdVersion="8" refreshedVersion="8" minRefreshableVersion="3" recordCount="1000" xr:uid="{2F8D1EB6-B886-4B3C-BD71-0661E975405A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0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0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0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0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0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0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0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0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0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0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0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0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0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0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0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0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0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0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07B42-F43C-47C3-9329-6D0F020C6CB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7:D42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D567C-715B-4550-965C-1889E41147E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D27" firstHeaderRow="1" firstDataRow="2" firstDataCol="1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9989C-350E-4567-B8CE-E0D2F6143322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1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8603-8D36-410B-B81F-A182CA200942}">
  <dimension ref="A1:N1001"/>
  <sheetViews>
    <sheetView topLeftCell="K975" workbookViewId="0">
      <selection activeCell="J13" sqref="J13"/>
    </sheetView>
  </sheetViews>
  <sheetFormatPr defaultColWidth="11.88671875" defaultRowHeight="14.4" x14ac:dyDescent="0.3"/>
  <cols>
    <col min="4" max="4" width="12.44140625" style="3" bestFit="1" customWidth="1"/>
    <col min="14" max="14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IF(L2&gt;55,"Old", IF(L2&gt;=31, "Middle Age", IF(L2&lt;31, "Adolescent", 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IF(L3&gt;55,"Old", IF(L3&gt;=31, "Middle Age", IF(L3&lt;31, "Adolescent", 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IF(L67&gt;55,"Old", IF(L67&gt;=31, "Middle Age", IF(L67&lt;31, "Adolescent", 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IF(L131&gt;55,"Old", IF(L131&gt;=31, "Middle Age", IF(L131&lt;31, "Adolescent", 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Middle Age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IF(L195&gt;55,"Old", IF(L195&gt;=31, "Middle Age", IF(L195&lt;31, "Adolescent", 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IF(L259&gt;55,"Old", IF(L259&gt;=31, "Middle Age", IF(L259&lt;31, "Adolescent", 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IF(L323&gt;55,"Old", IF(L323&gt;=31, "Middle Age", IF(L323&lt;31, "Adolescent", 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IF(L387&gt;55,"Old", IF(L387&gt;=31, "Middle Age", IF(L387&lt;31, "Adolescent", 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IF(L451&gt;55,"Old", IF(L451&gt;=31, "Middle Age", IF(L451&lt;31, "Adolescent", 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IF(L515&gt;55,"Old", IF(L515&gt;=31, "Middle Age", IF(L515&lt;31, "Adolescent", 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IF(L579&gt;55,"Old", IF(L579&gt;=31, "Middle Age", IF(L579&lt;31, "Adolescent", 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IF(L643&gt;55,"Old", IF(L643&gt;=31, "Middle Age", IF(L643&lt;31, "Adolescent", 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IF(L707&gt;55,"Old", IF(L707&gt;=31, "Middle Age", IF(L707&lt;31, "Adolescent", 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Middle Age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IF(L771&gt;55,"Old", IF(L771&gt;=31, "Middle Age", IF(L771&lt;31, "Adolescent", 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Middle Age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IF(L835&gt;55,"Old", IF(L835&gt;=31, "Middle Age", IF(L835&lt;31, "Adolescent", 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Middle Age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Middle Age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IF(L899&gt;55,"Old", IF(L899&gt;=31, "Middle Age", IF(L899&lt;31, "Adolescent", 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IF(L963&gt;55,"Old", IF(L963&gt;=31, "Middle Age", IF(L963&lt;31, "Adolescent", 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Middle Age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0E378603-8D36-410B-B81F-A182CA20094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AD97-F830-4027-9C98-C7F4EC85EBCF}">
  <dimension ref="A3:D42"/>
  <sheetViews>
    <sheetView tabSelected="1" topLeftCell="A34" workbookViewId="0">
      <selection activeCell="B49" sqref="B49"/>
    </sheetView>
  </sheetViews>
  <sheetFormatPr defaultColWidth="11.5546875"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5" t="s">
        <v>41</v>
      </c>
      <c r="B3" s="5" t="s">
        <v>45</v>
      </c>
    </row>
    <row r="4" spans="1:4" x14ac:dyDescent="0.3">
      <c r="A4" s="5" t="s">
        <v>42</v>
      </c>
      <c r="B4" t="s">
        <v>18</v>
      </c>
      <c r="C4" t="s">
        <v>15</v>
      </c>
      <c r="D4" t="s">
        <v>43</v>
      </c>
    </row>
    <row r="5" spans="1:4" x14ac:dyDescent="0.3">
      <c r="A5" s="6" t="s">
        <v>38</v>
      </c>
      <c r="B5" s="7">
        <v>53440</v>
      </c>
      <c r="C5" s="7">
        <v>55774.058577405856</v>
      </c>
      <c r="D5" s="7">
        <v>54580.777096114522</v>
      </c>
    </row>
    <row r="6" spans="1:4" x14ac:dyDescent="0.3">
      <c r="A6" s="6" t="s">
        <v>39</v>
      </c>
      <c r="B6" s="7">
        <v>56208.178438661707</v>
      </c>
      <c r="C6" s="7">
        <v>60123.966942148763</v>
      </c>
      <c r="D6" s="7">
        <v>58062.62230919765</v>
      </c>
    </row>
    <row r="7" spans="1:4" x14ac:dyDescent="0.3">
      <c r="A7" s="6" t="s">
        <v>43</v>
      </c>
      <c r="B7" s="7">
        <v>54874.759152215796</v>
      </c>
      <c r="C7" s="7">
        <v>57962.577962577961</v>
      </c>
      <c r="D7" s="7">
        <v>56360</v>
      </c>
    </row>
    <row r="20" spans="1:4" x14ac:dyDescent="0.3">
      <c r="A20" s="5" t="s">
        <v>44</v>
      </c>
      <c r="B20" s="5" t="s">
        <v>45</v>
      </c>
    </row>
    <row r="21" spans="1:4" x14ac:dyDescent="0.3">
      <c r="A21" s="5" t="s">
        <v>42</v>
      </c>
      <c r="B21" t="s">
        <v>18</v>
      </c>
      <c r="C21" t="s">
        <v>15</v>
      </c>
      <c r="D21" t="s">
        <v>43</v>
      </c>
    </row>
    <row r="22" spans="1:4" x14ac:dyDescent="0.3">
      <c r="A22" s="6" t="s">
        <v>16</v>
      </c>
      <c r="B22" s="4">
        <v>166</v>
      </c>
      <c r="C22" s="4">
        <v>200</v>
      </c>
      <c r="D22" s="4">
        <v>366</v>
      </c>
    </row>
    <row r="23" spans="1:4" x14ac:dyDescent="0.3">
      <c r="A23" s="6" t="s">
        <v>26</v>
      </c>
      <c r="B23" s="4">
        <v>92</v>
      </c>
      <c r="C23" s="4">
        <v>77</v>
      </c>
      <c r="D23" s="4">
        <v>169</v>
      </c>
    </row>
    <row r="24" spans="1:4" x14ac:dyDescent="0.3">
      <c r="A24" s="6" t="s">
        <v>22</v>
      </c>
      <c r="B24" s="4">
        <v>67</v>
      </c>
      <c r="C24" s="4">
        <v>95</v>
      </c>
      <c r="D24" s="4">
        <v>162</v>
      </c>
    </row>
    <row r="25" spans="1:4" x14ac:dyDescent="0.3">
      <c r="A25" s="6" t="s">
        <v>23</v>
      </c>
      <c r="B25" s="4">
        <v>116</v>
      </c>
      <c r="C25" s="4">
        <v>76</v>
      </c>
      <c r="D25" s="4">
        <v>192</v>
      </c>
    </row>
    <row r="26" spans="1:4" x14ac:dyDescent="0.3">
      <c r="A26" s="6" t="s">
        <v>46</v>
      </c>
      <c r="B26" s="4">
        <v>78</v>
      </c>
      <c r="C26" s="4">
        <v>33</v>
      </c>
      <c r="D26" s="4">
        <v>111</v>
      </c>
    </row>
    <row r="27" spans="1:4" x14ac:dyDescent="0.3">
      <c r="A27" s="6" t="s">
        <v>43</v>
      </c>
      <c r="B27" s="4">
        <v>519</v>
      </c>
      <c r="C27" s="4">
        <v>481</v>
      </c>
      <c r="D27" s="4">
        <v>1000</v>
      </c>
    </row>
    <row r="37" spans="1:4" x14ac:dyDescent="0.3">
      <c r="A37" s="5" t="s">
        <v>44</v>
      </c>
      <c r="B37" s="5" t="s">
        <v>45</v>
      </c>
    </row>
    <row r="38" spans="1:4" x14ac:dyDescent="0.3">
      <c r="A38" s="5" t="s">
        <v>42</v>
      </c>
      <c r="B38" t="s">
        <v>18</v>
      </c>
      <c r="C38" t="s">
        <v>15</v>
      </c>
      <c r="D38" t="s">
        <v>43</v>
      </c>
    </row>
    <row r="39" spans="1:4" x14ac:dyDescent="0.3">
      <c r="A39" s="6" t="s">
        <v>47</v>
      </c>
      <c r="B39" s="4">
        <v>71</v>
      </c>
      <c r="C39" s="4">
        <v>39</v>
      </c>
      <c r="D39" s="4">
        <v>110</v>
      </c>
    </row>
    <row r="40" spans="1:4" x14ac:dyDescent="0.3">
      <c r="A40" s="6" t="s">
        <v>48</v>
      </c>
      <c r="B40" s="4">
        <v>331</v>
      </c>
      <c r="C40" s="4">
        <v>388</v>
      </c>
      <c r="D40" s="4">
        <v>719</v>
      </c>
    </row>
    <row r="41" spans="1:4" x14ac:dyDescent="0.3">
      <c r="A41" s="6" t="s">
        <v>49</v>
      </c>
      <c r="B41" s="4">
        <v>117</v>
      </c>
      <c r="C41" s="4">
        <v>54</v>
      </c>
      <c r="D41" s="4">
        <v>171</v>
      </c>
    </row>
    <row r="42" spans="1:4" x14ac:dyDescent="0.3">
      <c r="A42" s="6" t="s">
        <v>43</v>
      </c>
      <c r="B42" s="4">
        <v>519</v>
      </c>
      <c r="C42" s="4">
        <v>481</v>
      </c>
      <c r="D42" s="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812C-532F-47D6-B54D-86847A9709DC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Gómez Ibarra</cp:lastModifiedBy>
  <dcterms:created xsi:type="dcterms:W3CDTF">2022-03-18T02:50:57Z</dcterms:created>
  <dcterms:modified xsi:type="dcterms:W3CDTF">2026-05-26T04:12:52Z</dcterms:modified>
</cp:coreProperties>
</file>